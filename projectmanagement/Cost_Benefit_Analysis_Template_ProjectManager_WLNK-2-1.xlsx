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1_{E0494400-6F51-48BE-AAA0-ACD14B9BE5DB}" xr6:coauthVersionLast="47" xr6:coauthVersionMax="47" xr10:uidLastSave="{00000000-0000-0000-0000-000000000000}"/>
  <bookViews>
    <workbookView xWindow="-120" yWindow="-120" windowWidth="29040" windowHeight="15720" xr2:uid="{BBDFDA9F-B308-46BA-990B-95E2222DDB26}"/>
  </bookViews>
  <sheets>
    <sheet name="Cost Benefit Analysis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56" i="1" l="1"/>
  <c r="M56" i="1"/>
  <c r="L56" i="1"/>
  <c r="K56" i="1"/>
  <c r="J56" i="1"/>
  <c r="I56" i="1"/>
  <c r="O55" i="1"/>
  <c r="O54" i="1"/>
  <c r="O53" i="1"/>
  <c r="O52" i="1"/>
  <c r="O51" i="1"/>
  <c r="N48" i="1"/>
  <c r="M48" i="1"/>
  <c r="L48" i="1"/>
  <c r="K48" i="1"/>
  <c r="J48" i="1"/>
  <c r="I48" i="1"/>
  <c r="O47" i="1"/>
  <c r="O46" i="1"/>
  <c r="O45" i="1"/>
  <c r="O44" i="1"/>
  <c r="O43" i="1"/>
  <c r="N16" i="1"/>
  <c r="M16" i="1"/>
  <c r="L16" i="1"/>
  <c r="K16" i="1"/>
  <c r="J16" i="1"/>
  <c r="I16" i="1"/>
  <c r="O15" i="1"/>
  <c r="O14" i="1"/>
  <c r="O13" i="1"/>
  <c r="O12" i="1"/>
  <c r="O11" i="1"/>
  <c r="J24" i="1"/>
  <c r="O56" i="1" l="1"/>
  <c r="O48" i="1"/>
  <c r="O16" i="1"/>
  <c r="J32" i="1"/>
  <c r="J40" i="1"/>
  <c r="N67" i="1"/>
  <c r="M67" i="1"/>
  <c r="L67" i="1"/>
  <c r="K67" i="1"/>
  <c r="I67" i="1"/>
  <c r="O66" i="1"/>
  <c r="O65" i="1"/>
  <c r="O64" i="1"/>
  <c r="O63" i="1"/>
  <c r="O62" i="1"/>
  <c r="N40" i="1"/>
  <c r="M40" i="1"/>
  <c r="L40" i="1"/>
  <c r="K40" i="1"/>
  <c r="I40" i="1"/>
  <c r="O39" i="1"/>
  <c r="O38" i="1"/>
  <c r="O37" i="1"/>
  <c r="O36" i="1"/>
  <c r="O35" i="1"/>
  <c r="N32" i="1"/>
  <c r="M32" i="1"/>
  <c r="L32" i="1"/>
  <c r="K32" i="1"/>
  <c r="I32" i="1"/>
  <c r="O31" i="1"/>
  <c r="O30" i="1"/>
  <c r="O29" i="1"/>
  <c r="O28" i="1"/>
  <c r="O27" i="1"/>
  <c r="I24" i="1"/>
  <c r="K24" i="1"/>
  <c r="L24" i="1"/>
  <c r="M24" i="1"/>
  <c r="N24" i="1"/>
  <c r="O20" i="1"/>
  <c r="O21" i="1"/>
  <c r="O22" i="1"/>
  <c r="O23" i="1"/>
  <c r="O19" i="1"/>
  <c r="N58" i="1" l="1"/>
  <c r="O67" i="1"/>
  <c r="M58" i="1"/>
  <c r="K58" i="1"/>
  <c r="L58" i="1"/>
  <c r="J58" i="1"/>
  <c r="J67" i="1" s="1"/>
  <c r="I58" i="1"/>
  <c r="O24" i="1"/>
  <c r="O40" i="1"/>
  <c r="O32" i="1"/>
  <c r="O58" i="1" l="1"/>
</calcChain>
</file>

<file path=xl/sharedStrings.xml><?xml version="1.0" encoding="utf-8"?>
<sst xmlns="http://schemas.openxmlformats.org/spreadsheetml/2006/main" count="273" uniqueCount="77">
  <si>
    <t>Project</t>
  </si>
  <si>
    <t>First Year</t>
  </si>
  <si>
    <t>Second Year</t>
  </si>
  <si>
    <t>Third Year</t>
  </si>
  <si>
    <t xml:space="preserve">Fourth Year </t>
  </si>
  <si>
    <t>Fifth Year</t>
  </si>
  <si>
    <t>Sixth Year</t>
  </si>
  <si>
    <t>Total</t>
  </si>
  <si>
    <t>$</t>
  </si>
  <si>
    <t xml:space="preserve">  Indirect Costs</t>
  </si>
  <si>
    <t>Opportunity Costs</t>
  </si>
  <si>
    <t xml:space="preserve">Rent </t>
  </si>
  <si>
    <t>Utilities</t>
  </si>
  <si>
    <t>[Name of Project]</t>
  </si>
  <si>
    <t>[Name of Project Manager]</t>
  </si>
  <si>
    <t>Overall Costs</t>
  </si>
  <si>
    <t>Neglecting one project for another</t>
  </si>
  <si>
    <t>Increased revenue</t>
  </si>
  <si>
    <t>New sales</t>
  </si>
  <si>
    <t>Related Free Templates</t>
  </si>
  <si>
    <t>Project Plan Template</t>
  </si>
  <si>
    <t>Project Budget Template</t>
  </si>
  <si>
    <t>Production Schedule Template</t>
  </si>
  <si>
    <t>Project Manager</t>
  </si>
  <si>
    <t>Direct Costs</t>
  </si>
  <si>
    <t>One-time Costs</t>
  </si>
  <si>
    <t>Contingency Costs</t>
  </si>
  <si>
    <t>Compliance Costs</t>
  </si>
  <si>
    <t>Cost Benefit Analysis Template</t>
  </si>
  <si>
    <t>Financial Benefits</t>
  </si>
  <si>
    <t>Tangible or Quantitative Benefits</t>
  </si>
  <si>
    <t>Intangible or Qualitative Benefits</t>
  </si>
  <si>
    <t>Cost Savings</t>
  </si>
  <si>
    <t>Tax Incentives</t>
  </si>
  <si>
    <t>Benefit Description</t>
  </si>
  <si>
    <t>Time Frame</t>
  </si>
  <si>
    <t>Impact Area</t>
  </si>
  <si>
    <t>Measurement Approach</t>
  </si>
  <si>
    <t>KPIs</t>
  </si>
  <si>
    <t>Ongoing</t>
  </si>
  <si>
    <t>Workforce</t>
  </si>
  <si>
    <t>Sustainability</t>
  </si>
  <si>
    <t>Improved employee morale</t>
  </si>
  <si>
    <t>Enhanced customer satisfaction</t>
  </si>
  <si>
    <t>Strengthened brand reputation</t>
  </si>
  <si>
    <t>Better regulatory compliance</t>
  </si>
  <si>
    <t>Reduced environmental footprint</t>
  </si>
  <si>
    <t>Increased cross departmental collaboration</t>
  </si>
  <si>
    <t>Competitive market position</t>
  </si>
  <si>
    <t>Medium term</t>
  </si>
  <si>
    <t>Long term</t>
  </si>
  <si>
    <t>Immediate</t>
  </si>
  <si>
    <t>Short term</t>
  </si>
  <si>
    <t>Customer retention</t>
  </si>
  <si>
    <t>External market</t>
  </si>
  <si>
    <t>Risk management</t>
  </si>
  <si>
    <t>Internal operations</t>
  </si>
  <si>
    <t>Market strategy</t>
  </si>
  <si>
    <t>Employee retention rate</t>
  </si>
  <si>
    <t>Net promoter score</t>
  </si>
  <si>
    <t>Positive sentiment ratio</t>
  </si>
  <si>
    <t>Compliance audit pass</t>
  </si>
  <si>
    <t>CO2 emission reduction %</t>
  </si>
  <si>
    <t>Number of projects completed</t>
  </si>
  <si>
    <t>Market share %</t>
  </si>
  <si>
    <t>Employee engagement surveys</t>
  </si>
  <si>
    <t>Customer feedback</t>
  </si>
  <si>
    <t>Sentiment analysis</t>
  </si>
  <si>
    <t>Annual compliance audit</t>
  </si>
  <si>
    <t>Environmental impact assessment</t>
  </si>
  <si>
    <t>Internal surveys and data</t>
  </si>
  <si>
    <t>Industry analysis reports</t>
  </si>
  <si>
    <t>Costs</t>
  </si>
  <si>
    <t>Labor</t>
  </si>
  <si>
    <t>Materials</t>
  </si>
  <si>
    <t>Equipment</t>
  </si>
  <si>
    <t>Annual Subscriptions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</si>
</sst>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Montserrat Regular"/>
    </font>
    <font>
      <sz val="10"/>
      <color theme="0"/>
      <name val="Montserrat Regular"/>
    </font>
    <font>
      <sz val="10"/>
      <color theme="1"/>
      <name val="Montserrat Regula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6"/>
      <color theme="1"/>
      <name val="Montserrat Regular"/>
    </font>
    <font>
      <b/>
      <sz val="12"/>
      <color theme="0"/>
      <name val="Montserrat Regula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B456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3" fillId="2" borderId="0" xfId="0" applyFont="1" applyFill="1"/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2" borderId="0" xfId="0" applyFont="1" applyFill="1"/>
    <xf numFmtId="0" fontId="8" fillId="2" borderId="0" xfId="2" applyFont="1" applyFill="1"/>
    <xf numFmtId="4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44" fontId="5" fillId="2" borderId="0" xfId="1" applyFont="1" applyFill="1" applyBorder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 indent="25"/>
    </xf>
    <xf numFmtId="0" fontId="6" fillId="2" borderId="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6" fontId="6" fillId="2" borderId="0" xfId="0" applyNumberFormat="1" applyFont="1" applyFill="1" applyBorder="1" applyAlignment="1">
      <alignment horizontal="center" vertical="center"/>
    </xf>
    <xf numFmtId="6" fontId="6" fillId="2" borderId="5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44" fontId="5" fillId="5" borderId="7" xfId="1" applyFont="1" applyFill="1" applyBorder="1" applyAlignment="1">
      <alignment horizontal="center" vertical="center"/>
    </xf>
    <xf numFmtId="44" fontId="5" fillId="5" borderId="8" xfId="1" applyFont="1" applyFill="1" applyBorder="1" applyAlignment="1">
      <alignment horizontal="center" vertical="center"/>
    </xf>
    <xf numFmtId="164" fontId="5" fillId="5" borderId="7" xfId="1" applyNumberFormat="1" applyFont="1" applyFill="1" applyBorder="1" applyAlignment="1">
      <alignment horizontal="center" vertical="center"/>
    </xf>
    <xf numFmtId="6" fontId="5" fillId="5" borderId="8" xfId="1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1B4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www.projectmanager.com/pricing?utm_source=project_manager_com&amp;utm_medium=content+library&amp;utm_campaign=excel-cost_benefit_analysis&amp;utm_content=&amp;utm_detail=&amp;utm_term=none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369795</xdr:colOff>
      <xdr:row>0</xdr:row>
      <xdr:rowOff>33618</xdr:rowOff>
    </xdr:from>
    <xdr:to>
      <xdr:col>14</xdr:col>
      <xdr:colOff>822886</xdr:colOff>
      <xdr:row>4</xdr:row>
      <xdr:rowOff>172687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45D3688-8F81-42F8-89A8-E87F3ACE1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6383" y="33618"/>
          <a:ext cx="3041650" cy="9010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10</xdr:col>
      <xdr:colOff>102347</xdr:colOff>
      <xdr:row>97</xdr:row>
      <xdr:rowOff>7144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3AB4AD-ECF7-497B-B638-02A22FB32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21818600"/>
          <a:ext cx="6108700" cy="343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ojectmanager.com/templates/production-schedule-template?utm_source=project_manager_com&amp;utm_medium=content+library&amp;utm_campaign=excel-cost_benefit_analysis&amp;utm_content=&amp;utm_detail=&amp;utm_term=none" TargetMode="External"/><Relationship Id="rId2" Type="http://schemas.openxmlformats.org/officeDocument/2006/relationships/hyperlink" Target="https://www.projectmanager.com/templates/project-budget-template?utm_source=project_manager_com&amp;utm_medium=content+library&amp;utm_campaign=excel-cost_benefit_analysis&amp;utm_content=&amp;utm_detail=&amp;utm_term=none" TargetMode="External"/><Relationship Id="rId1" Type="http://schemas.openxmlformats.org/officeDocument/2006/relationships/hyperlink" Target="https://www.projectmanager.com/templates/project-plan-template?utm_source=project_manager_com&amp;utm_medium=content+library&amp;utm_campaign=excel-cost_benefit_analysis&amp;utm_content=&amp;utm_detail=&amp;utm_term=none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39C2-4A4F-4125-A1B1-034AF03278CF}">
  <dimension ref="B3:O83"/>
  <sheetViews>
    <sheetView tabSelected="1" topLeftCell="A36" zoomScale="85" zoomScaleNormal="85" workbookViewId="0">
      <selection activeCell="P93" sqref="P93"/>
    </sheetView>
  </sheetViews>
  <sheetFormatPr defaultColWidth="9.140625" defaultRowHeight="15" customHeight="1"/>
  <cols>
    <col min="1" max="1" width="5.85546875" style="1" customWidth="1"/>
    <col min="2" max="8" width="9.140625" style="1"/>
    <col min="9" max="15" width="13" style="1" customWidth="1"/>
    <col min="16" max="16384" width="9.140625" style="1"/>
  </cols>
  <sheetData>
    <row r="3" spans="2:15" ht="15" customHeight="1">
      <c r="B3" s="12" t="s">
        <v>28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2:15" ht="15" customHeight="1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6" spans="2:15" s="3" customFormat="1" ht="15" customHeight="1">
      <c r="B6" s="2" t="s">
        <v>0</v>
      </c>
      <c r="C6" s="2"/>
      <c r="D6" s="2"/>
      <c r="E6" s="2"/>
      <c r="F6" s="2"/>
      <c r="G6" s="2"/>
      <c r="H6" s="2"/>
      <c r="I6" s="2" t="s">
        <v>23</v>
      </c>
      <c r="J6" s="2"/>
      <c r="K6" s="2"/>
      <c r="L6" s="2"/>
      <c r="M6" s="2"/>
      <c r="N6" s="2"/>
      <c r="O6" s="2"/>
    </row>
    <row r="7" spans="2:15" s="3" customFormat="1" ht="15" customHeight="1">
      <c r="B7" s="4" t="s">
        <v>13</v>
      </c>
      <c r="C7" s="4"/>
      <c r="D7" s="4"/>
      <c r="E7" s="4"/>
      <c r="F7" s="4"/>
      <c r="G7" s="4"/>
      <c r="H7" s="4"/>
      <c r="I7" s="4" t="s">
        <v>14</v>
      </c>
      <c r="J7" s="4"/>
      <c r="K7" s="4"/>
      <c r="L7" s="4"/>
      <c r="M7" s="4"/>
      <c r="N7" s="4"/>
      <c r="O7" s="4"/>
    </row>
    <row r="9" spans="2:15" s="3" customFormat="1" ht="26.25" customHeight="1">
      <c r="B9" s="23" t="s">
        <v>72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5"/>
    </row>
    <row r="10" spans="2:15" s="3" customFormat="1" ht="19.5" customHeight="1">
      <c r="B10" s="20" t="s">
        <v>24</v>
      </c>
      <c r="C10" s="21"/>
      <c r="D10" s="21"/>
      <c r="E10" s="21"/>
      <c r="F10" s="21"/>
      <c r="G10" s="21"/>
      <c r="H10" s="21"/>
      <c r="I10" s="26" t="s">
        <v>1</v>
      </c>
      <c r="J10" s="26" t="s">
        <v>2</v>
      </c>
      <c r="K10" s="26" t="s">
        <v>3</v>
      </c>
      <c r="L10" s="26" t="s">
        <v>4</v>
      </c>
      <c r="M10" s="26" t="s">
        <v>5</v>
      </c>
      <c r="N10" s="26" t="s">
        <v>6</v>
      </c>
      <c r="O10" s="27" t="s">
        <v>7</v>
      </c>
    </row>
    <row r="11" spans="2:15" s="3" customFormat="1" ht="19.5" customHeight="1">
      <c r="B11" s="14" t="s">
        <v>73</v>
      </c>
      <c r="C11" s="15"/>
      <c r="D11" s="15"/>
      <c r="E11" s="15"/>
      <c r="F11" s="15"/>
      <c r="G11" s="15"/>
      <c r="H11" s="15"/>
      <c r="I11" s="28">
        <v>1000</v>
      </c>
      <c r="J11" s="28">
        <v>1100</v>
      </c>
      <c r="K11" s="28">
        <v>1200</v>
      </c>
      <c r="L11" s="28">
        <v>1300</v>
      </c>
      <c r="M11" s="28">
        <v>1400</v>
      </c>
      <c r="N11" s="28">
        <v>1500</v>
      </c>
      <c r="O11" s="29">
        <f>SUM(I11:N11)</f>
        <v>7500</v>
      </c>
    </row>
    <row r="12" spans="2:15" s="3" customFormat="1" ht="19.5" customHeight="1">
      <c r="B12" s="14" t="s">
        <v>74</v>
      </c>
      <c r="C12" s="15"/>
      <c r="D12" s="15"/>
      <c r="E12" s="15"/>
      <c r="F12" s="15"/>
      <c r="G12" s="15"/>
      <c r="H12" s="15"/>
      <c r="I12" s="28">
        <v>200</v>
      </c>
      <c r="J12" s="28">
        <v>220</v>
      </c>
      <c r="K12" s="28">
        <v>240</v>
      </c>
      <c r="L12" s="28">
        <v>260</v>
      </c>
      <c r="M12" s="28">
        <v>280</v>
      </c>
      <c r="N12" s="28">
        <v>300</v>
      </c>
      <c r="O12" s="29">
        <f>SUM(I12:N12)</f>
        <v>1500</v>
      </c>
    </row>
    <row r="13" spans="2:15" s="3" customFormat="1" ht="19.5" customHeight="1">
      <c r="B13" s="14"/>
      <c r="C13" s="15"/>
      <c r="D13" s="15"/>
      <c r="E13" s="15"/>
      <c r="F13" s="15"/>
      <c r="G13" s="15"/>
      <c r="H13" s="15"/>
      <c r="I13" s="28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  <c r="O13" s="29">
        <f>SUM(I13:N13)</f>
        <v>0</v>
      </c>
    </row>
    <row r="14" spans="2:15" s="3" customFormat="1" ht="19.5" customHeight="1">
      <c r="B14" s="14"/>
      <c r="C14" s="15"/>
      <c r="D14" s="15"/>
      <c r="E14" s="15"/>
      <c r="F14" s="15"/>
      <c r="G14" s="15"/>
      <c r="H14" s="15"/>
      <c r="I14" s="28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  <c r="O14" s="29">
        <f>SUM(I14:N14)</f>
        <v>0</v>
      </c>
    </row>
    <row r="15" spans="2:15" s="3" customFormat="1" ht="19.5" customHeight="1">
      <c r="B15" s="14"/>
      <c r="C15" s="15"/>
      <c r="D15" s="15"/>
      <c r="E15" s="15"/>
      <c r="F15" s="15"/>
      <c r="G15" s="15"/>
      <c r="H15" s="15"/>
      <c r="I15" s="28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  <c r="O15" s="29">
        <f>SUM(I15:N15)</f>
        <v>0</v>
      </c>
    </row>
    <row r="16" spans="2:15" s="3" customFormat="1" ht="19.5" customHeight="1">
      <c r="B16" s="30" t="s">
        <v>7</v>
      </c>
      <c r="C16" s="31"/>
      <c r="D16" s="31"/>
      <c r="E16" s="31"/>
      <c r="F16" s="31"/>
      <c r="G16" s="31"/>
      <c r="H16" s="31"/>
      <c r="I16" s="32">
        <f>SUM(I11:I15)</f>
        <v>1200</v>
      </c>
      <c r="J16" s="34">
        <f>SUM(J11:J15)</f>
        <v>1320</v>
      </c>
      <c r="K16" s="32">
        <f>SUM(K11:K15)</f>
        <v>1440</v>
      </c>
      <c r="L16" s="32">
        <f>SUM(L11:L15)</f>
        <v>1560</v>
      </c>
      <c r="M16" s="32">
        <f>SUM(M11:M15)</f>
        <v>1680</v>
      </c>
      <c r="N16" s="32">
        <f>SUM(N11:N15)</f>
        <v>1800</v>
      </c>
      <c r="O16" s="33">
        <f>SUM(O11:O15)</f>
        <v>9000</v>
      </c>
    </row>
    <row r="17" spans="2:15" s="3" customFormat="1" ht="19.5" customHeight="1">
      <c r="B17" s="9"/>
      <c r="C17" s="9"/>
      <c r="D17" s="9"/>
      <c r="E17" s="9"/>
      <c r="F17" s="9"/>
      <c r="G17" s="9"/>
      <c r="H17" s="9"/>
      <c r="I17" s="10"/>
      <c r="J17" s="11"/>
      <c r="K17" s="10"/>
      <c r="L17" s="10"/>
      <c r="M17" s="10"/>
      <c r="N17" s="10"/>
      <c r="O17" s="10"/>
    </row>
    <row r="18" spans="2:15" s="3" customFormat="1" ht="15" customHeight="1">
      <c r="B18" s="20" t="s">
        <v>9</v>
      </c>
      <c r="C18" s="21"/>
      <c r="D18" s="21"/>
      <c r="E18" s="21"/>
      <c r="F18" s="21"/>
      <c r="G18" s="21"/>
      <c r="H18" s="21"/>
      <c r="I18" s="26" t="s">
        <v>1</v>
      </c>
      <c r="J18" s="26" t="s">
        <v>2</v>
      </c>
      <c r="K18" s="26" t="s">
        <v>3</v>
      </c>
      <c r="L18" s="26" t="s">
        <v>4</v>
      </c>
      <c r="M18" s="26" t="s">
        <v>5</v>
      </c>
      <c r="N18" s="26" t="s">
        <v>6</v>
      </c>
      <c r="O18" s="27" t="s">
        <v>7</v>
      </c>
    </row>
    <row r="19" spans="2:15" s="3" customFormat="1" ht="15" customHeight="1">
      <c r="B19" s="14" t="s">
        <v>11</v>
      </c>
      <c r="C19" s="15"/>
      <c r="D19" s="15"/>
      <c r="E19" s="15"/>
      <c r="F19" s="15"/>
      <c r="G19" s="15"/>
      <c r="H19" s="15"/>
      <c r="I19" s="28">
        <v>1000</v>
      </c>
      <c r="J19" s="28">
        <v>1100</v>
      </c>
      <c r="K19" s="28">
        <v>1200</v>
      </c>
      <c r="L19" s="28">
        <v>1300</v>
      </c>
      <c r="M19" s="28">
        <v>1400</v>
      </c>
      <c r="N19" s="28">
        <v>1500</v>
      </c>
      <c r="O19" s="29">
        <f>SUM(I19:N19)</f>
        <v>7500</v>
      </c>
    </row>
    <row r="20" spans="2:15" s="3" customFormat="1" ht="15" customHeight="1">
      <c r="B20" s="14" t="s">
        <v>12</v>
      </c>
      <c r="C20" s="15"/>
      <c r="D20" s="15"/>
      <c r="E20" s="15"/>
      <c r="F20" s="15"/>
      <c r="G20" s="15"/>
      <c r="H20" s="15"/>
      <c r="I20" s="28">
        <v>200</v>
      </c>
      <c r="J20" s="28">
        <v>220</v>
      </c>
      <c r="K20" s="28">
        <v>240</v>
      </c>
      <c r="L20" s="28">
        <v>260</v>
      </c>
      <c r="M20" s="28">
        <v>280</v>
      </c>
      <c r="N20" s="28">
        <v>300</v>
      </c>
      <c r="O20" s="29">
        <f>SUM(I20:N20)</f>
        <v>1500</v>
      </c>
    </row>
    <row r="21" spans="2:15" s="3" customFormat="1" ht="15" customHeight="1">
      <c r="B21" s="14"/>
      <c r="C21" s="15"/>
      <c r="D21" s="15"/>
      <c r="E21" s="15"/>
      <c r="F21" s="15"/>
      <c r="G21" s="15"/>
      <c r="H21" s="15"/>
      <c r="I21" s="28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  <c r="O21" s="29">
        <f>SUM(I21:N21)</f>
        <v>0</v>
      </c>
    </row>
    <row r="22" spans="2:15" s="3" customFormat="1" ht="15" customHeight="1">
      <c r="B22" s="14"/>
      <c r="C22" s="15"/>
      <c r="D22" s="15"/>
      <c r="E22" s="15"/>
      <c r="F22" s="15"/>
      <c r="G22" s="15"/>
      <c r="H22" s="15"/>
      <c r="I22" s="28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  <c r="O22" s="29">
        <f>SUM(I22:N22)</f>
        <v>0</v>
      </c>
    </row>
    <row r="23" spans="2:15" s="3" customFormat="1" ht="15" customHeight="1">
      <c r="B23" s="14"/>
      <c r="C23" s="15"/>
      <c r="D23" s="15"/>
      <c r="E23" s="15"/>
      <c r="F23" s="15"/>
      <c r="G23" s="15"/>
      <c r="H23" s="15"/>
      <c r="I23" s="28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  <c r="O23" s="29">
        <f>SUM(I23:N23)</f>
        <v>0</v>
      </c>
    </row>
    <row r="24" spans="2:15" s="3" customFormat="1" ht="15" customHeight="1">
      <c r="B24" s="30" t="s">
        <v>7</v>
      </c>
      <c r="C24" s="31"/>
      <c r="D24" s="31"/>
      <c r="E24" s="31"/>
      <c r="F24" s="31"/>
      <c r="G24" s="31"/>
      <c r="H24" s="31"/>
      <c r="I24" s="32">
        <f>SUM(I19:I23)</f>
        <v>1200</v>
      </c>
      <c r="J24" s="34">
        <f>SUM(J19:J23)</f>
        <v>1320</v>
      </c>
      <c r="K24" s="32">
        <f>SUM(K19:K23)</f>
        <v>1440</v>
      </c>
      <c r="L24" s="32">
        <f>SUM(L19:L23)</f>
        <v>1560</v>
      </c>
      <c r="M24" s="32">
        <f>SUM(M19:M23)</f>
        <v>1680</v>
      </c>
      <c r="N24" s="32">
        <f>SUM(N19:N23)</f>
        <v>1800</v>
      </c>
      <c r="O24" s="33">
        <f>SUM(O19:O23)</f>
        <v>9000</v>
      </c>
    </row>
    <row r="25" spans="2:15" s="3" customFormat="1" ht="15" customHeight="1"/>
    <row r="26" spans="2:15" s="3" customFormat="1" ht="15" customHeight="1">
      <c r="B26" s="20" t="s">
        <v>25</v>
      </c>
      <c r="C26" s="21"/>
      <c r="D26" s="21"/>
      <c r="E26" s="21"/>
      <c r="F26" s="21"/>
      <c r="G26" s="21"/>
      <c r="H26" s="21"/>
      <c r="I26" s="26" t="s">
        <v>1</v>
      </c>
      <c r="J26" s="26" t="s">
        <v>2</v>
      </c>
      <c r="K26" s="26" t="s">
        <v>3</v>
      </c>
      <c r="L26" s="26" t="s">
        <v>4</v>
      </c>
      <c r="M26" s="26" t="s">
        <v>5</v>
      </c>
      <c r="N26" s="26" t="s">
        <v>6</v>
      </c>
      <c r="O26" s="27" t="s">
        <v>7</v>
      </c>
    </row>
    <row r="27" spans="2:15" s="3" customFormat="1" ht="15" customHeight="1">
      <c r="B27" s="14" t="s">
        <v>75</v>
      </c>
      <c r="C27" s="15"/>
      <c r="D27" s="15"/>
      <c r="E27" s="15"/>
      <c r="F27" s="15"/>
      <c r="G27" s="15"/>
      <c r="H27" s="15"/>
      <c r="I27" s="28">
        <v>500</v>
      </c>
      <c r="J27" s="28">
        <v>400</v>
      </c>
      <c r="K27" s="28">
        <v>600</v>
      </c>
      <c r="L27" s="28">
        <v>800</v>
      </c>
      <c r="M27" s="28">
        <v>500</v>
      </c>
      <c r="N27" s="28">
        <v>300</v>
      </c>
      <c r="O27" s="29">
        <f>SUM(I27:N27)</f>
        <v>3100</v>
      </c>
    </row>
    <row r="28" spans="2:15" s="3" customFormat="1" ht="15" customHeight="1">
      <c r="B28" s="14" t="s">
        <v>76</v>
      </c>
      <c r="C28" s="15"/>
      <c r="D28" s="15"/>
      <c r="E28" s="15"/>
      <c r="F28" s="15"/>
      <c r="G28" s="15"/>
      <c r="H28" s="15"/>
      <c r="I28" s="28">
        <v>1000</v>
      </c>
      <c r="J28" s="28">
        <v>1000</v>
      </c>
      <c r="K28" s="28">
        <v>2000</v>
      </c>
      <c r="L28" s="28">
        <v>3000</v>
      </c>
      <c r="M28" s="28">
        <v>2000</v>
      </c>
      <c r="N28" s="28">
        <v>1500</v>
      </c>
      <c r="O28" s="29">
        <f>SUM(I28:N28)</f>
        <v>10500</v>
      </c>
    </row>
    <row r="29" spans="2:15" s="3" customFormat="1" ht="15" customHeight="1">
      <c r="B29" s="14"/>
      <c r="C29" s="15"/>
      <c r="D29" s="15"/>
      <c r="E29" s="15"/>
      <c r="F29" s="15"/>
      <c r="G29" s="15"/>
      <c r="H29" s="15"/>
      <c r="I29" s="28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  <c r="O29" s="29">
        <f>SUM(I29:N29)</f>
        <v>0</v>
      </c>
    </row>
    <row r="30" spans="2:15" s="3" customFormat="1" ht="15" customHeight="1">
      <c r="B30" s="14"/>
      <c r="C30" s="15"/>
      <c r="D30" s="15"/>
      <c r="E30" s="15"/>
      <c r="F30" s="15"/>
      <c r="G30" s="15"/>
      <c r="H30" s="15"/>
      <c r="I30" s="28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  <c r="O30" s="29">
        <f>SUM(I30:N30)</f>
        <v>0</v>
      </c>
    </row>
    <row r="31" spans="2:15" s="3" customFormat="1" ht="15" customHeight="1">
      <c r="B31" s="14"/>
      <c r="C31" s="15"/>
      <c r="D31" s="15"/>
      <c r="E31" s="15"/>
      <c r="F31" s="15"/>
      <c r="G31" s="15"/>
      <c r="H31" s="15"/>
      <c r="I31" s="28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  <c r="O31" s="29">
        <f>SUM(I31:N31)</f>
        <v>0</v>
      </c>
    </row>
    <row r="32" spans="2:15" s="3" customFormat="1" ht="15" customHeight="1">
      <c r="B32" s="30" t="s">
        <v>7</v>
      </c>
      <c r="C32" s="31"/>
      <c r="D32" s="31"/>
      <c r="E32" s="31"/>
      <c r="F32" s="31"/>
      <c r="G32" s="31"/>
      <c r="H32" s="31"/>
      <c r="I32" s="32">
        <f>SUM(I27:I31)</f>
        <v>1500</v>
      </c>
      <c r="J32" s="32">
        <f>SUM(J27:J31)</f>
        <v>1400</v>
      </c>
      <c r="K32" s="32">
        <f>SUM(K27:K31)</f>
        <v>2600</v>
      </c>
      <c r="L32" s="32">
        <f>SUM(L27:L31)</f>
        <v>3800</v>
      </c>
      <c r="M32" s="32">
        <f>SUM(M27:M31)</f>
        <v>2500</v>
      </c>
      <c r="N32" s="32">
        <f>SUM(N27:N31)</f>
        <v>1800</v>
      </c>
      <c r="O32" s="33">
        <f>SUM(O27:O31)</f>
        <v>13600</v>
      </c>
    </row>
    <row r="33" spans="2:15" s="3" customFormat="1" ht="15" customHeight="1"/>
    <row r="34" spans="2:15" s="3" customFormat="1" ht="15" customHeight="1">
      <c r="B34" s="20" t="s">
        <v>10</v>
      </c>
      <c r="C34" s="21"/>
      <c r="D34" s="21"/>
      <c r="E34" s="21"/>
      <c r="F34" s="21"/>
      <c r="G34" s="21"/>
      <c r="H34" s="21"/>
      <c r="I34" s="26" t="s">
        <v>1</v>
      </c>
      <c r="J34" s="26" t="s">
        <v>2</v>
      </c>
      <c r="K34" s="26" t="s">
        <v>3</v>
      </c>
      <c r="L34" s="26" t="s">
        <v>4</v>
      </c>
      <c r="M34" s="26" t="s">
        <v>5</v>
      </c>
      <c r="N34" s="26" t="s">
        <v>6</v>
      </c>
      <c r="O34" s="27" t="s">
        <v>7</v>
      </c>
    </row>
    <row r="35" spans="2:15" s="3" customFormat="1" ht="15" customHeight="1">
      <c r="B35" s="14" t="s">
        <v>16</v>
      </c>
      <c r="C35" s="15"/>
      <c r="D35" s="15"/>
      <c r="E35" s="15"/>
      <c r="F35" s="15"/>
      <c r="G35" s="15"/>
      <c r="H35" s="15"/>
      <c r="I35" s="28">
        <v>1000</v>
      </c>
      <c r="J35" s="28">
        <v>1000</v>
      </c>
      <c r="K35" s="28">
        <v>1000</v>
      </c>
      <c r="L35" s="28">
        <v>1000</v>
      </c>
      <c r="M35" s="28">
        <v>1000</v>
      </c>
      <c r="N35" s="28">
        <v>1000</v>
      </c>
      <c r="O35" s="29">
        <f>SUM(I35:N35)</f>
        <v>6000</v>
      </c>
    </row>
    <row r="36" spans="2:15" s="3" customFormat="1" ht="15" customHeight="1">
      <c r="B36" s="14"/>
      <c r="C36" s="15"/>
      <c r="D36" s="15"/>
      <c r="E36" s="15"/>
      <c r="F36" s="15"/>
      <c r="G36" s="15"/>
      <c r="H36" s="15"/>
      <c r="I36" s="28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  <c r="O36" s="29">
        <f>SUM(I36:N36)</f>
        <v>0</v>
      </c>
    </row>
    <row r="37" spans="2:15" s="3" customFormat="1" ht="15" customHeight="1">
      <c r="B37" s="14"/>
      <c r="C37" s="15"/>
      <c r="D37" s="15"/>
      <c r="E37" s="15"/>
      <c r="F37" s="15"/>
      <c r="G37" s="15"/>
      <c r="H37" s="15"/>
      <c r="I37" s="28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  <c r="O37" s="29">
        <f>SUM(I37:N37)</f>
        <v>0</v>
      </c>
    </row>
    <row r="38" spans="2:15" s="3" customFormat="1" ht="15" customHeight="1">
      <c r="B38" s="14"/>
      <c r="C38" s="15"/>
      <c r="D38" s="15"/>
      <c r="E38" s="15"/>
      <c r="F38" s="15"/>
      <c r="G38" s="15"/>
      <c r="H38" s="15"/>
      <c r="I38" s="28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  <c r="O38" s="29">
        <f>SUM(I38:N38)</f>
        <v>0</v>
      </c>
    </row>
    <row r="39" spans="2:15" s="3" customFormat="1" ht="15" customHeight="1">
      <c r="B39" s="14"/>
      <c r="C39" s="15"/>
      <c r="D39" s="15"/>
      <c r="E39" s="15"/>
      <c r="F39" s="15"/>
      <c r="G39" s="15"/>
      <c r="H39" s="15"/>
      <c r="I39" s="28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  <c r="O39" s="29">
        <f>SUM(I39:N39)</f>
        <v>0</v>
      </c>
    </row>
    <row r="40" spans="2:15" s="3" customFormat="1" ht="15" customHeight="1">
      <c r="B40" s="30" t="s">
        <v>7</v>
      </c>
      <c r="C40" s="31"/>
      <c r="D40" s="31"/>
      <c r="E40" s="31"/>
      <c r="F40" s="31"/>
      <c r="G40" s="31"/>
      <c r="H40" s="31"/>
      <c r="I40" s="32">
        <f>SUM(I35:I39)</f>
        <v>1000</v>
      </c>
      <c r="J40" s="32">
        <f>SUM(J35:J39)</f>
        <v>1000</v>
      </c>
      <c r="K40" s="32">
        <f>SUM(K35:K39)</f>
        <v>1000</v>
      </c>
      <c r="L40" s="32">
        <f>SUM(L35:L39)</f>
        <v>1000</v>
      </c>
      <c r="M40" s="32">
        <f>SUM(M35:M39)</f>
        <v>1000</v>
      </c>
      <c r="N40" s="32">
        <f>SUM(N35:N39)</f>
        <v>1000</v>
      </c>
      <c r="O40" s="33">
        <f>SUM(O35:O39)</f>
        <v>6000</v>
      </c>
    </row>
    <row r="41" spans="2:15" s="3" customFormat="1" ht="15" customHeight="1"/>
    <row r="42" spans="2:15" s="3" customFormat="1" ht="15" customHeight="1">
      <c r="B42" s="20" t="s">
        <v>26</v>
      </c>
      <c r="C42" s="21"/>
      <c r="D42" s="21"/>
      <c r="E42" s="21"/>
      <c r="F42" s="21"/>
      <c r="G42" s="21"/>
      <c r="H42" s="21"/>
      <c r="I42" s="26" t="s">
        <v>1</v>
      </c>
      <c r="J42" s="26" t="s">
        <v>2</v>
      </c>
      <c r="K42" s="26" t="s">
        <v>3</v>
      </c>
      <c r="L42" s="26" t="s">
        <v>4</v>
      </c>
      <c r="M42" s="26" t="s">
        <v>5</v>
      </c>
      <c r="N42" s="26" t="s">
        <v>6</v>
      </c>
      <c r="O42" s="27" t="s">
        <v>7</v>
      </c>
    </row>
    <row r="43" spans="2:15" s="3" customFormat="1" ht="15" customHeight="1">
      <c r="B43" s="14" t="s">
        <v>16</v>
      </c>
      <c r="C43" s="15"/>
      <c r="D43" s="15"/>
      <c r="E43" s="15"/>
      <c r="F43" s="15"/>
      <c r="G43" s="15"/>
      <c r="H43" s="15"/>
      <c r="I43" s="28">
        <v>1000</v>
      </c>
      <c r="J43" s="28">
        <v>1000</v>
      </c>
      <c r="K43" s="28">
        <v>1000</v>
      </c>
      <c r="L43" s="28">
        <v>1000</v>
      </c>
      <c r="M43" s="28">
        <v>1000</v>
      </c>
      <c r="N43" s="28">
        <v>1000</v>
      </c>
      <c r="O43" s="29">
        <f>SUM(I43:N43)</f>
        <v>6000</v>
      </c>
    </row>
    <row r="44" spans="2:15" s="3" customFormat="1" ht="15" customHeight="1">
      <c r="B44" s="14"/>
      <c r="C44" s="15"/>
      <c r="D44" s="15"/>
      <c r="E44" s="15"/>
      <c r="F44" s="15"/>
      <c r="G44" s="15"/>
      <c r="H44" s="15"/>
      <c r="I44" s="28" t="s">
        <v>8</v>
      </c>
      <c r="J44" s="13" t="s">
        <v>8</v>
      </c>
      <c r="K44" s="13" t="s">
        <v>8</v>
      </c>
      <c r="L44" s="13" t="s">
        <v>8</v>
      </c>
      <c r="M44" s="13" t="s">
        <v>8</v>
      </c>
      <c r="N44" s="13" t="s">
        <v>8</v>
      </c>
      <c r="O44" s="29">
        <f>SUM(I44:N44)</f>
        <v>0</v>
      </c>
    </row>
    <row r="45" spans="2:15" s="3" customFormat="1" ht="15" customHeight="1">
      <c r="B45" s="14"/>
      <c r="C45" s="15"/>
      <c r="D45" s="15"/>
      <c r="E45" s="15"/>
      <c r="F45" s="15"/>
      <c r="G45" s="15"/>
      <c r="H45" s="15"/>
      <c r="I45" s="28" t="s">
        <v>8</v>
      </c>
      <c r="J45" s="13" t="s">
        <v>8</v>
      </c>
      <c r="K45" s="13" t="s">
        <v>8</v>
      </c>
      <c r="L45" s="13" t="s">
        <v>8</v>
      </c>
      <c r="M45" s="13" t="s">
        <v>8</v>
      </c>
      <c r="N45" s="13" t="s">
        <v>8</v>
      </c>
      <c r="O45" s="29">
        <f>SUM(I45:N45)</f>
        <v>0</v>
      </c>
    </row>
    <row r="46" spans="2:15" s="3" customFormat="1" ht="15" customHeight="1">
      <c r="B46" s="14"/>
      <c r="C46" s="15"/>
      <c r="D46" s="15"/>
      <c r="E46" s="15"/>
      <c r="F46" s="15"/>
      <c r="G46" s="15"/>
      <c r="H46" s="15"/>
      <c r="I46" s="28" t="s">
        <v>8</v>
      </c>
      <c r="J46" s="13" t="s">
        <v>8</v>
      </c>
      <c r="K46" s="13" t="s">
        <v>8</v>
      </c>
      <c r="L46" s="13" t="s">
        <v>8</v>
      </c>
      <c r="M46" s="13" t="s">
        <v>8</v>
      </c>
      <c r="N46" s="13" t="s">
        <v>8</v>
      </c>
      <c r="O46" s="29">
        <f>SUM(I46:N46)</f>
        <v>0</v>
      </c>
    </row>
    <row r="47" spans="2:15" s="3" customFormat="1" ht="15" customHeight="1">
      <c r="B47" s="14"/>
      <c r="C47" s="15"/>
      <c r="D47" s="15"/>
      <c r="E47" s="15"/>
      <c r="F47" s="15"/>
      <c r="G47" s="15"/>
      <c r="H47" s="15"/>
      <c r="I47" s="28" t="s">
        <v>8</v>
      </c>
      <c r="J47" s="13" t="s">
        <v>8</v>
      </c>
      <c r="K47" s="13" t="s">
        <v>8</v>
      </c>
      <c r="L47" s="13" t="s">
        <v>8</v>
      </c>
      <c r="M47" s="13" t="s">
        <v>8</v>
      </c>
      <c r="N47" s="13" t="s">
        <v>8</v>
      </c>
      <c r="O47" s="29">
        <f>SUM(I47:N47)</f>
        <v>0</v>
      </c>
    </row>
    <row r="48" spans="2:15" s="3" customFormat="1" ht="15" customHeight="1">
      <c r="B48" s="30" t="s">
        <v>7</v>
      </c>
      <c r="C48" s="31"/>
      <c r="D48" s="31"/>
      <c r="E48" s="31"/>
      <c r="F48" s="31"/>
      <c r="G48" s="31"/>
      <c r="H48" s="31"/>
      <c r="I48" s="32">
        <f>SUM(I43:I47)</f>
        <v>1000</v>
      </c>
      <c r="J48" s="32">
        <f>SUM(J43:J47)</f>
        <v>1000</v>
      </c>
      <c r="K48" s="32">
        <f>SUM(K43:K47)</f>
        <v>1000</v>
      </c>
      <c r="L48" s="32">
        <f>SUM(L43:L47)</f>
        <v>1000</v>
      </c>
      <c r="M48" s="32">
        <f>SUM(M43:M47)</f>
        <v>1000</v>
      </c>
      <c r="N48" s="32">
        <f>SUM(N43:N47)</f>
        <v>1000</v>
      </c>
      <c r="O48" s="33">
        <f>SUM(O43:O47)</f>
        <v>6000</v>
      </c>
    </row>
    <row r="49" spans="2:15" s="3" customFormat="1" ht="15" customHeight="1"/>
    <row r="50" spans="2:15" s="3" customFormat="1" ht="15" customHeight="1">
      <c r="B50" s="20" t="s">
        <v>27</v>
      </c>
      <c r="C50" s="21"/>
      <c r="D50" s="21"/>
      <c r="E50" s="21"/>
      <c r="F50" s="21"/>
      <c r="G50" s="21"/>
      <c r="H50" s="21"/>
      <c r="I50" s="26" t="s">
        <v>1</v>
      </c>
      <c r="J50" s="26" t="s">
        <v>2</v>
      </c>
      <c r="K50" s="26" t="s">
        <v>3</v>
      </c>
      <c r="L50" s="26" t="s">
        <v>4</v>
      </c>
      <c r="M50" s="26" t="s">
        <v>5</v>
      </c>
      <c r="N50" s="26" t="s">
        <v>6</v>
      </c>
      <c r="O50" s="27" t="s">
        <v>7</v>
      </c>
    </row>
    <row r="51" spans="2:15" s="3" customFormat="1" ht="15" customHeight="1">
      <c r="B51" s="14" t="s">
        <v>16</v>
      </c>
      <c r="C51" s="15"/>
      <c r="D51" s="15"/>
      <c r="E51" s="15"/>
      <c r="F51" s="15"/>
      <c r="G51" s="15"/>
      <c r="H51" s="15"/>
      <c r="I51" s="28">
        <v>1000</v>
      </c>
      <c r="J51" s="28">
        <v>1000</v>
      </c>
      <c r="K51" s="28">
        <v>1000</v>
      </c>
      <c r="L51" s="28">
        <v>1000</v>
      </c>
      <c r="M51" s="28">
        <v>1000</v>
      </c>
      <c r="N51" s="28">
        <v>1000</v>
      </c>
      <c r="O51" s="29">
        <f>SUM(I51:N51)</f>
        <v>6000</v>
      </c>
    </row>
    <row r="52" spans="2:15" s="3" customFormat="1" ht="15" customHeight="1">
      <c r="B52" s="14"/>
      <c r="C52" s="15"/>
      <c r="D52" s="15"/>
      <c r="E52" s="15"/>
      <c r="F52" s="15"/>
      <c r="G52" s="15"/>
      <c r="H52" s="15"/>
      <c r="I52" s="28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  <c r="O52" s="29">
        <f>SUM(I52:N52)</f>
        <v>0</v>
      </c>
    </row>
    <row r="53" spans="2:15" s="3" customFormat="1" ht="15" customHeight="1">
      <c r="B53" s="14"/>
      <c r="C53" s="15"/>
      <c r="D53" s="15"/>
      <c r="E53" s="15"/>
      <c r="F53" s="15"/>
      <c r="G53" s="15"/>
      <c r="H53" s="15"/>
      <c r="I53" s="28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  <c r="O53" s="29">
        <f>SUM(I53:N53)</f>
        <v>0</v>
      </c>
    </row>
    <row r="54" spans="2:15" s="3" customFormat="1" ht="15" customHeight="1">
      <c r="B54" s="14"/>
      <c r="C54" s="15"/>
      <c r="D54" s="15"/>
      <c r="E54" s="15"/>
      <c r="F54" s="15"/>
      <c r="G54" s="15"/>
      <c r="H54" s="15"/>
      <c r="I54" s="28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  <c r="O54" s="29">
        <f>SUM(I54:N54)</f>
        <v>0</v>
      </c>
    </row>
    <row r="55" spans="2:15" s="3" customFormat="1" ht="15" customHeight="1">
      <c r="B55" s="14"/>
      <c r="C55" s="15"/>
      <c r="D55" s="15"/>
      <c r="E55" s="15"/>
      <c r="F55" s="15"/>
      <c r="G55" s="15"/>
      <c r="H55" s="15"/>
      <c r="I55" s="28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  <c r="O55" s="29">
        <f>SUM(I55:N55)</f>
        <v>0</v>
      </c>
    </row>
    <row r="56" spans="2:15" s="3" customFormat="1" ht="15" customHeight="1">
      <c r="B56" s="30" t="s">
        <v>7</v>
      </c>
      <c r="C56" s="31"/>
      <c r="D56" s="31"/>
      <c r="E56" s="31"/>
      <c r="F56" s="31"/>
      <c r="G56" s="31"/>
      <c r="H56" s="31"/>
      <c r="I56" s="32">
        <f>SUM(I51:I55)</f>
        <v>1000</v>
      </c>
      <c r="J56" s="32">
        <f>SUM(J51:J55)</f>
        <v>1000</v>
      </c>
      <c r="K56" s="32">
        <f>SUM(K51:K55)</f>
        <v>1000</v>
      </c>
      <c r="L56" s="32">
        <f>SUM(L51:L55)</f>
        <v>1000</v>
      </c>
      <c r="M56" s="32">
        <f>SUM(M51:M55)</f>
        <v>1000</v>
      </c>
      <c r="N56" s="32">
        <f>SUM(N51:N55)</f>
        <v>1000</v>
      </c>
      <c r="O56" s="33">
        <f>SUM(O51:O55)</f>
        <v>6000</v>
      </c>
    </row>
    <row r="57" spans="2:15" s="3" customFormat="1" ht="15" customHeight="1"/>
    <row r="58" spans="2:15" s="3" customFormat="1" ht="15" customHeight="1">
      <c r="B58" s="5" t="s">
        <v>15</v>
      </c>
      <c r="C58" s="5"/>
      <c r="D58" s="5"/>
      <c r="E58" s="5"/>
      <c r="F58" s="5"/>
      <c r="G58" s="5"/>
      <c r="H58" s="5"/>
      <c r="I58" s="8">
        <f>(I24+I32+I40)</f>
        <v>3700</v>
      </c>
      <c r="J58" s="8">
        <f t="shared" ref="J58" si="0">(J24+J32+J40)</f>
        <v>3720</v>
      </c>
      <c r="K58" s="8">
        <f t="shared" ref="K58" si="1">(K24+K32+K40)</f>
        <v>5040</v>
      </c>
      <c r="L58" s="8">
        <f t="shared" ref="L58" si="2">(L24+L32+L40)</f>
        <v>6360</v>
      </c>
      <c r="M58" s="8">
        <f t="shared" ref="M58" si="3">(M24+M32+M40)</f>
        <v>5180</v>
      </c>
      <c r="N58" s="8">
        <f t="shared" ref="N58" si="4">(N24+N32+N40)</f>
        <v>4600</v>
      </c>
      <c r="O58" s="8">
        <f>(O16+O24+O32+O40+O48+O56)</f>
        <v>49600</v>
      </c>
    </row>
    <row r="59" spans="2:15" s="3" customFormat="1" ht="15" customHeight="1"/>
    <row r="60" spans="2:15" s="3" customFormat="1" ht="26.25" customHeight="1">
      <c r="B60" s="36" t="s">
        <v>30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8"/>
    </row>
    <row r="61" spans="2:15" s="3" customFormat="1" ht="15" customHeight="1">
      <c r="B61" s="20" t="s">
        <v>29</v>
      </c>
      <c r="C61" s="21"/>
      <c r="D61" s="21"/>
      <c r="E61" s="21"/>
      <c r="F61" s="21"/>
      <c r="G61" s="21"/>
      <c r="H61" s="21"/>
      <c r="I61" s="26" t="s">
        <v>1</v>
      </c>
      <c r="J61" s="26" t="s">
        <v>2</v>
      </c>
      <c r="K61" s="26" t="s">
        <v>3</v>
      </c>
      <c r="L61" s="26" t="s">
        <v>4</v>
      </c>
      <c r="M61" s="26" t="s">
        <v>5</v>
      </c>
      <c r="N61" s="26" t="s">
        <v>6</v>
      </c>
      <c r="O61" s="27" t="s">
        <v>7</v>
      </c>
    </row>
    <row r="62" spans="2:15" s="3" customFormat="1" ht="15" customHeight="1">
      <c r="B62" s="14" t="s">
        <v>17</v>
      </c>
      <c r="C62" s="15"/>
      <c r="D62" s="15"/>
      <c r="E62" s="15"/>
      <c r="F62" s="15"/>
      <c r="G62" s="15"/>
      <c r="H62" s="15"/>
      <c r="I62" s="28">
        <v>10000</v>
      </c>
      <c r="J62" s="28">
        <v>10000</v>
      </c>
      <c r="K62" s="28">
        <v>15000</v>
      </c>
      <c r="L62" s="28">
        <v>15000</v>
      </c>
      <c r="M62" s="13">
        <v>20000</v>
      </c>
      <c r="N62" s="28">
        <v>20000</v>
      </c>
      <c r="O62" s="29">
        <f>SUM(I62:N62)</f>
        <v>90000</v>
      </c>
    </row>
    <row r="63" spans="2:15" s="3" customFormat="1" ht="15" customHeight="1">
      <c r="B63" s="14" t="s">
        <v>18</v>
      </c>
      <c r="C63" s="15"/>
      <c r="D63" s="15"/>
      <c r="E63" s="15"/>
      <c r="F63" s="15"/>
      <c r="G63" s="15"/>
      <c r="H63" s="15"/>
      <c r="I63" s="28">
        <v>5000</v>
      </c>
      <c r="J63" s="28">
        <v>6000</v>
      </c>
      <c r="K63" s="28">
        <v>7000</v>
      </c>
      <c r="L63" s="28">
        <v>8000</v>
      </c>
      <c r="M63" s="28">
        <v>9000</v>
      </c>
      <c r="N63" s="28">
        <v>10000</v>
      </c>
      <c r="O63" s="29">
        <f>SUM(I63:N63)</f>
        <v>45000</v>
      </c>
    </row>
    <row r="64" spans="2:15" s="3" customFormat="1" ht="15" customHeight="1">
      <c r="B64" s="14" t="s">
        <v>32</v>
      </c>
      <c r="C64" s="15"/>
      <c r="D64" s="15"/>
      <c r="E64" s="15"/>
      <c r="F64" s="15"/>
      <c r="G64" s="15"/>
      <c r="H64" s="15"/>
      <c r="I64" s="28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  <c r="O64" s="29">
        <f>SUM(I64:N64)</f>
        <v>0</v>
      </c>
    </row>
    <row r="65" spans="2:15" s="3" customFormat="1" ht="15" customHeight="1">
      <c r="B65" s="14" t="s">
        <v>33</v>
      </c>
      <c r="C65" s="15"/>
      <c r="D65" s="15"/>
      <c r="E65" s="15"/>
      <c r="F65" s="15"/>
      <c r="G65" s="15"/>
      <c r="H65" s="15"/>
      <c r="I65" s="28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  <c r="O65" s="29">
        <f>SUM(I65:N65)</f>
        <v>0</v>
      </c>
    </row>
    <row r="66" spans="2:15" s="3" customFormat="1" ht="15" customHeight="1">
      <c r="B66" s="14"/>
      <c r="C66" s="15"/>
      <c r="D66" s="15"/>
      <c r="E66" s="15"/>
      <c r="F66" s="15"/>
      <c r="G66" s="15"/>
      <c r="H66" s="15"/>
      <c r="I66" s="28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  <c r="O66" s="29">
        <f>SUM(I66:N66)</f>
        <v>0</v>
      </c>
    </row>
    <row r="67" spans="2:15" s="3" customFormat="1" ht="15" customHeight="1">
      <c r="B67" s="30" t="s">
        <v>7</v>
      </c>
      <c r="C67" s="31"/>
      <c r="D67" s="31"/>
      <c r="E67" s="31"/>
      <c r="F67" s="31"/>
      <c r="G67" s="31"/>
      <c r="H67" s="31"/>
      <c r="I67" s="32">
        <f>SUM(I62:I66)</f>
        <v>15000</v>
      </c>
      <c r="J67" s="32">
        <f>SUM(J35:J62)</f>
        <v>19720</v>
      </c>
      <c r="K67" s="32">
        <f>SUM(K62:K66)</f>
        <v>22000</v>
      </c>
      <c r="L67" s="32">
        <f>SUM(L62:L66)</f>
        <v>23000</v>
      </c>
      <c r="M67" s="32">
        <f>SUM(M62:M66)</f>
        <v>29000</v>
      </c>
      <c r="N67" s="32">
        <f>SUM(N62:N66)</f>
        <v>30000</v>
      </c>
      <c r="O67" s="35">
        <f>SUM(O62:O66)</f>
        <v>135000</v>
      </c>
    </row>
    <row r="68" spans="2:15" s="3" customFormat="1" ht="15" customHeight="1"/>
    <row r="69" spans="2:15" s="3" customFormat="1" ht="26.25" customHeight="1">
      <c r="B69" s="36" t="s">
        <v>31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8"/>
    </row>
    <row r="70" spans="2:15" s="3" customFormat="1" ht="19.5" customHeight="1">
      <c r="B70" s="20" t="s">
        <v>34</v>
      </c>
      <c r="C70" s="21"/>
      <c r="D70" s="21"/>
      <c r="E70" s="21"/>
      <c r="F70" s="21"/>
      <c r="G70" s="21" t="s">
        <v>35</v>
      </c>
      <c r="H70" s="21"/>
      <c r="I70" s="21" t="s">
        <v>36</v>
      </c>
      <c r="J70" s="21"/>
      <c r="K70" s="21" t="s">
        <v>38</v>
      </c>
      <c r="L70" s="21"/>
      <c r="M70" s="21" t="s">
        <v>37</v>
      </c>
      <c r="N70" s="21"/>
      <c r="O70" s="22"/>
    </row>
    <row r="71" spans="2:15" s="3" customFormat="1" ht="15" customHeight="1">
      <c r="B71" s="14" t="s">
        <v>42</v>
      </c>
      <c r="C71" s="15"/>
      <c r="D71" s="15"/>
      <c r="E71" s="15"/>
      <c r="F71" s="15"/>
      <c r="G71" s="15" t="s">
        <v>39</v>
      </c>
      <c r="H71" s="15"/>
      <c r="I71" s="15" t="s">
        <v>40</v>
      </c>
      <c r="J71" s="15"/>
      <c r="K71" s="15" t="s">
        <v>58</v>
      </c>
      <c r="L71" s="15"/>
      <c r="M71" s="15" t="s">
        <v>65</v>
      </c>
      <c r="N71" s="15"/>
      <c r="O71" s="16"/>
    </row>
    <row r="72" spans="2:15" s="3" customFormat="1" ht="15" customHeight="1">
      <c r="B72" s="14" t="s">
        <v>43</v>
      </c>
      <c r="C72" s="15"/>
      <c r="D72" s="15"/>
      <c r="E72" s="15"/>
      <c r="F72" s="15"/>
      <c r="G72" s="15" t="s">
        <v>49</v>
      </c>
      <c r="H72" s="15"/>
      <c r="I72" s="15" t="s">
        <v>53</v>
      </c>
      <c r="J72" s="15"/>
      <c r="K72" s="15" t="s">
        <v>59</v>
      </c>
      <c r="L72" s="15"/>
      <c r="M72" s="15" t="s">
        <v>66</v>
      </c>
      <c r="N72" s="15"/>
      <c r="O72" s="16"/>
    </row>
    <row r="73" spans="2:15" s="3" customFormat="1" ht="15" customHeight="1">
      <c r="B73" s="14" t="s">
        <v>44</v>
      </c>
      <c r="C73" s="15"/>
      <c r="D73" s="15"/>
      <c r="E73" s="15"/>
      <c r="F73" s="15"/>
      <c r="G73" s="15" t="s">
        <v>50</v>
      </c>
      <c r="H73" s="15"/>
      <c r="I73" s="15" t="s">
        <v>54</v>
      </c>
      <c r="J73" s="15"/>
      <c r="K73" s="15" t="s">
        <v>60</v>
      </c>
      <c r="L73" s="15"/>
      <c r="M73" s="15" t="s">
        <v>67</v>
      </c>
      <c r="N73" s="15"/>
      <c r="O73" s="16"/>
    </row>
    <row r="74" spans="2:15" s="3" customFormat="1" ht="15" customHeight="1">
      <c r="B74" s="14" t="s">
        <v>45</v>
      </c>
      <c r="C74" s="15"/>
      <c r="D74" s="15"/>
      <c r="E74" s="15"/>
      <c r="F74" s="15"/>
      <c r="G74" s="15" t="s">
        <v>51</v>
      </c>
      <c r="H74" s="15"/>
      <c r="I74" s="15" t="s">
        <v>55</v>
      </c>
      <c r="J74" s="15"/>
      <c r="K74" s="15" t="s">
        <v>61</v>
      </c>
      <c r="L74" s="15"/>
      <c r="M74" s="15" t="s">
        <v>68</v>
      </c>
      <c r="N74" s="15"/>
      <c r="O74" s="16"/>
    </row>
    <row r="75" spans="2:15" s="3" customFormat="1" ht="15" customHeight="1">
      <c r="B75" s="14" t="s">
        <v>46</v>
      </c>
      <c r="C75" s="15"/>
      <c r="D75" s="15"/>
      <c r="E75" s="15"/>
      <c r="F75" s="15"/>
      <c r="G75" s="15" t="s">
        <v>50</v>
      </c>
      <c r="H75" s="15"/>
      <c r="I75" s="15" t="s">
        <v>41</v>
      </c>
      <c r="J75" s="15"/>
      <c r="K75" s="15" t="s">
        <v>62</v>
      </c>
      <c r="L75" s="15"/>
      <c r="M75" s="15" t="s">
        <v>69</v>
      </c>
      <c r="N75" s="15"/>
      <c r="O75" s="16"/>
    </row>
    <row r="76" spans="2:15" s="3" customFormat="1" ht="15" customHeight="1">
      <c r="B76" s="14" t="s">
        <v>47</v>
      </c>
      <c r="C76" s="15"/>
      <c r="D76" s="15"/>
      <c r="E76" s="15"/>
      <c r="F76" s="15"/>
      <c r="G76" s="15" t="s">
        <v>52</v>
      </c>
      <c r="H76" s="15"/>
      <c r="I76" s="15" t="s">
        <v>56</v>
      </c>
      <c r="J76" s="15"/>
      <c r="K76" s="15" t="s">
        <v>63</v>
      </c>
      <c r="L76" s="15"/>
      <c r="M76" s="15" t="s">
        <v>70</v>
      </c>
      <c r="N76" s="15"/>
      <c r="O76" s="16"/>
    </row>
    <row r="77" spans="2:15" s="3" customFormat="1" ht="15" customHeight="1">
      <c r="B77" s="17" t="s">
        <v>48</v>
      </c>
      <c r="C77" s="18"/>
      <c r="D77" s="18"/>
      <c r="E77" s="18"/>
      <c r="F77" s="18"/>
      <c r="G77" s="18" t="s">
        <v>50</v>
      </c>
      <c r="H77" s="18"/>
      <c r="I77" s="18" t="s">
        <v>57</v>
      </c>
      <c r="J77" s="18"/>
      <c r="K77" s="18" t="s">
        <v>64</v>
      </c>
      <c r="L77" s="18"/>
      <c r="M77" s="18" t="s">
        <v>71</v>
      </c>
      <c r="N77" s="18"/>
      <c r="O77" s="19"/>
    </row>
    <row r="78" spans="2:15" s="3" customFormat="1" ht="15" customHeight="1"/>
    <row r="80" spans="2:15" ht="15" customHeight="1">
      <c r="L80" s="6" t="s">
        <v>19</v>
      </c>
    </row>
    <row r="81" spans="12:12" ht="15" customHeight="1">
      <c r="L81" s="7" t="s">
        <v>20</v>
      </c>
    </row>
    <row r="82" spans="12:12" ht="15" customHeight="1">
      <c r="L82" s="7" t="s">
        <v>21</v>
      </c>
    </row>
    <row r="83" spans="12:12" ht="15" customHeight="1">
      <c r="L83" s="7" t="s">
        <v>22</v>
      </c>
    </row>
  </sheetData>
  <mergeCells count="100">
    <mergeCell ref="B77:F77"/>
    <mergeCell ref="B76:F76"/>
    <mergeCell ref="B75:F75"/>
    <mergeCell ref="B74:F74"/>
    <mergeCell ref="B73:F73"/>
    <mergeCell ref="B72:F72"/>
    <mergeCell ref="K77:L77"/>
    <mergeCell ref="I77:J77"/>
    <mergeCell ref="G77:H77"/>
    <mergeCell ref="G76:H76"/>
    <mergeCell ref="G75:H75"/>
    <mergeCell ref="G74:H74"/>
    <mergeCell ref="G73:H73"/>
    <mergeCell ref="G72:H72"/>
    <mergeCell ref="G71:H71"/>
    <mergeCell ref="B55:H55"/>
    <mergeCell ref="B56:H56"/>
    <mergeCell ref="B53:H53"/>
    <mergeCell ref="B54:H54"/>
    <mergeCell ref="B52:H52"/>
    <mergeCell ref="B48:H48"/>
    <mergeCell ref="B69:O69"/>
    <mergeCell ref="B50:H50"/>
    <mergeCell ref="B51:H51"/>
    <mergeCell ref="B47:H47"/>
    <mergeCell ref="B42:H42"/>
    <mergeCell ref="B45:H45"/>
    <mergeCell ref="B46:H46"/>
    <mergeCell ref="B43:H43"/>
    <mergeCell ref="B44:H44"/>
    <mergeCell ref="B16:H16"/>
    <mergeCell ref="B15:H15"/>
    <mergeCell ref="B10:H10"/>
    <mergeCell ref="B13:H13"/>
    <mergeCell ref="B14:H14"/>
    <mergeCell ref="B12:H12"/>
    <mergeCell ref="B70:F70"/>
    <mergeCell ref="G70:H70"/>
    <mergeCell ref="M70:O70"/>
    <mergeCell ref="B71:F71"/>
    <mergeCell ref="M77:O77"/>
    <mergeCell ref="M76:O76"/>
    <mergeCell ref="M75:O75"/>
    <mergeCell ref="M74:O74"/>
    <mergeCell ref="M73:O73"/>
    <mergeCell ref="B58:H58"/>
    <mergeCell ref="I76:J76"/>
    <mergeCell ref="K76:L76"/>
    <mergeCell ref="I75:J75"/>
    <mergeCell ref="K75:L75"/>
    <mergeCell ref="I74:J74"/>
    <mergeCell ref="K74:L74"/>
    <mergeCell ref="I73:J73"/>
    <mergeCell ref="K73:L73"/>
    <mergeCell ref="I72:J72"/>
    <mergeCell ref="K72:L72"/>
    <mergeCell ref="I71:J71"/>
    <mergeCell ref="K71:L71"/>
    <mergeCell ref="M72:O72"/>
    <mergeCell ref="M71:O71"/>
    <mergeCell ref="I70:J70"/>
    <mergeCell ref="K70:L70"/>
    <mergeCell ref="B67:H67"/>
    <mergeCell ref="B66:H66"/>
    <mergeCell ref="B65:H65"/>
    <mergeCell ref="B64:H64"/>
    <mergeCell ref="B63:H63"/>
    <mergeCell ref="B62:H62"/>
    <mergeCell ref="B60:O60"/>
    <mergeCell ref="B61:H61"/>
    <mergeCell ref="B40:H40"/>
    <mergeCell ref="B39:H39"/>
    <mergeCell ref="B38:H38"/>
    <mergeCell ref="B37:H37"/>
    <mergeCell ref="B36:H36"/>
    <mergeCell ref="B35:H35"/>
    <mergeCell ref="B34:H34"/>
    <mergeCell ref="B32:H32"/>
    <mergeCell ref="B31:H31"/>
    <mergeCell ref="B30:H30"/>
    <mergeCell ref="B29:H29"/>
    <mergeCell ref="B28:H28"/>
    <mergeCell ref="B27:H27"/>
    <mergeCell ref="B26:H26"/>
    <mergeCell ref="B24:H24"/>
    <mergeCell ref="B22:H22"/>
    <mergeCell ref="B23:H23"/>
    <mergeCell ref="B21:H21"/>
    <mergeCell ref="B20:H20"/>
    <mergeCell ref="B19:H19"/>
    <mergeCell ref="B6:H6"/>
    <mergeCell ref="I6:L6"/>
    <mergeCell ref="M6:O6"/>
    <mergeCell ref="B7:H7"/>
    <mergeCell ref="I7:L7"/>
    <mergeCell ref="M7:O7"/>
    <mergeCell ref="B9:O9"/>
    <mergeCell ref="B18:H18"/>
    <mergeCell ref="B3:O4"/>
    <mergeCell ref="B11:H11"/>
  </mergeCells>
  <hyperlinks>
    <hyperlink ref="L81" r:id="rId1" xr:uid="{C025A38F-FFED-4D77-8860-FD013C82951B}"/>
    <hyperlink ref="L82" r:id="rId2" xr:uid="{0718A446-7E59-4462-AA3A-FC04EC994A76}"/>
    <hyperlink ref="L83" r:id="rId3" xr:uid="{891B9D22-4849-4D97-AEEF-4080B01C3DB2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Benefit Analysis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Camilo Tristancho</cp:lastModifiedBy>
  <dcterms:created xsi:type="dcterms:W3CDTF">2021-06-07T16:52:26Z</dcterms:created>
  <dcterms:modified xsi:type="dcterms:W3CDTF">2024-11-22T23:41:07Z</dcterms:modified>
</cp:coreProperties>
</file>